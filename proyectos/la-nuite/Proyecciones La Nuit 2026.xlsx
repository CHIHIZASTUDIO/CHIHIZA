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Proy. X Etapas - Proyecciones f" sheetId="2" r:id="rId6"/>
    <sheet name="Rentabilidad"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<sst xmlns="http://schemas.openxmlformats.org/spreadsheetml/2006/main" uniqueCount="39">
  <si>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</si>
  <si>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</si>
  <si>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</si>
  <si>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</si>
  <si>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Proy. X Etapas</t>
  </si>
  <si>
    <t>Proyecciones financieras por Etapas (O, R, U)</t>
  </si>
  <si>
    <t>Proy. X Etapas - Proyecciones f</t>
  </si>
  <si>
    <t>Unidades (U)</t>
  </si>
  <si>
    <t>Tarifa (R)</t>
  </si>
  <si>
    <r>
      <rPr>
        <b val="1"/>
        <sz val="10"/>
        <color indexed="15"/>
        <rFont val="Helvetica Neue"/>
      </rPr>
      <t xml:space="preserve">Ocupación (O) </t>
    </r>
    <r>
      <rPr>
        <i val="1"/>
        <sz val="10"/>
        <color indexed="15"/>
        <rFont val="Helvetica Neue"/>
      </rPr>
      <t>semanal (días)</t>
    </r>
  </si>
  <si>
    <r>
      <rPr>
        <b val="1"/>
        <sz val="10"/>
        <color indexed="15"/>
        <rFont val="Helvetica Neue"/>
      </rPr>
      <t xml:space="preserve">Ocupación </t>
    </r>
    <r>
      <rPr>
        <i val="1"/>
        <sz val="10"/>
        <color indexed="15"/>
        <rFont val="Helvetica Neue"/>
      </rPr>
      <t>mensual (días)</t>
    </r>
  </si>
  <si>
    <r>
      <rPr>
        <b val="1"/>
        <sz val="10"/>
        <color indexed="15"/>
        <rFont val="Helvetica Neue"/>
      </rPr>
      <t xml:space="preserve">Ocupación </t>
    </r>
    <r>
      <rPr>
        <i val="1"/>
        <sz val="10"/>
        <color indexed="15"/>
        <rFont val="Helvetica Neue"/>
      </rPr>
      <t>mensual (%)</t>
    </r>
  </si>
  <si>
    <r>
      <rPr>
        <b val="1"/>
        <sz val="10"/>
        <color indexed="15"/>
        <rFont val="Helvetica Neue"/>
      </rPr>
      <t xml:space="preserve">Ingreso semanal </t>
    </r>
    <r>
      <rPr>
        <i val="1"/>
        <sz val="10"/>
        <color indexed="15"/>
        <rFont val="Helvetica Neue"/>
      </rPr>
      <t>(en pesos)</t>
    </r>
  </si>
  <si>
    <r>
      <rPr>
        <b val="1"/>
        <sz val="10"/>
        <color indexed="15"/>
        <rFont val="Helvetica Neue"/>
      </rPr>
      <t xml:space="preserve">Ingreso semanal </t>
    </r>
    <r>
      <rPr>
        <i val="1"/>
        <sz val="10"/>
        <color indexed="15"/>
        <rFont val="Helvetica Neue"/>
      </rPr>
      <t>(en US$)</t>
    </r>
  </si>
  <si>
    <t># semana</t>
  </si>
  <si>
    <r>
      <rPr>
        <b val="1"/>
        <sz val="10"/>
        <color indexed="15"/>
        <rFont val="Helvetica Neue"/>
      </rPr>
      <t xml:space="preserve">Ingreso mensual </t>
    </r>
    <r>
      <rPr>
        <i val="1"/>
        <sz val="10"/>
        <color indexed="15"/>
        <rFont val="Helvetica Neue"/>
      </rPr>
      <t>(en US$)</t>
    </r>
  </si>
  <si>
    <r>
      <rPr>
        <b val="1"/>
        <sz val="10"/>
        <color indexed="15"/>
        <rFont val="Helvetica Neue"/>
      </rPr>
      <t xml:space="preserve">Ingreso anual </t>
    </r>
    <r>
      <rPr>
        <i val="1"/>
        <sz val="10"/>
        <color indexed="15"/>
        <rFont val="Helvetica Neue"/>
      </rPr>
      <t>(en US$)</t>
    </r>
  </si>
  <si>
    <t>Rentabilidad</t>
  </si>
  <si>
    <t>Escenario actual</t>
  </si>
  <si>
    <t>Es el punto de equilibrio actual</t>
  </si>
  <si>
    <t>Escenario (O)</t>
  </si>
  <si>
    <t>El % de rentabilidad incluye la inversión total</t>
  </si>
  <si>
    <t>Ingresos adicionales (O)</t>
  </si>
  <si>
    <t>Escenario (O+R)</t>
  </si>
  <si>
    <t>Ingresos adicionales (O+R)</t>
  </si>
  <si>
    <t>Escenario (O+R+U)</t>
  </si>
  <si>
    <t>Ingresos adicionales (O+R+U))</t>
  </si>
  <si>
    <t>Tabla 1</t>
  </si>
  <si>
    <t>Inversión COP</t>
  </si>
  <si>
    <t>Inversión US$</t>
  </si>
  <si>
    <t>Ingresos Brutos</t>
  </si>
  <si>
    <t>Costos Op.</t>
  </si>
  <si>
    <t>Ingresos Netos (COP)</t>
  </si>
  <si>
    <t>Ingresos Netos (US$)</t>
  </si>
  <si>
    <t>Rentabilidad (%)</t>
  </si>
  <si>
    <t>Escenario inicial</t>
  </si>
  <si>
    <t>Escenario “O"</t>
  </si>
  <si>
    <t>Escenario “O+R"</t>
  </si>
  <si>
    <t>Escenario “O+R+U”</t>
  </si>
</sst>
</file>

<file path=xl/styles.xml><?xml version="1.0" encoding="utf-8"?>
<styleSheet xmlns="http://schemas.openxmlformats.org/spreadsheetml/2006/main">
  <numFmts count="8">
    <numFmt numFmtId="0" formatCode="General"/>
    <numFmt numFmtId="59" formatCode="&quot;$&quot; #,##0"/>
    <numFmt numFmtId="60" formatCode="[$$-409] #,##0"/>
    <numFmt numFmtId="61" formatCode="#,##0.0000%"/>
    <numFmt numFmtId="62" formatCode="#,##0%"/>
    <numFmt numFmtId="63" formatCode="#,##0.00%"/>
    <numFmt numFmtId="64" formatCode="&quot;$&quot; #,##0.00"/>
    <numFmt numFmtId="65" formatCode="0.0000%"/>
  </numFmts>
  <fonts count="1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sz val="10"/>
      <color indexed="15"/>
      <name val="Helvetica Neue"/>
    </font>
    <font>
      <i val="1"/>
      <sz val="10"/>
      <color indexed="15"/>
      <name val="Helvetica Neue"/>
    </font>
    <font>
      <b val="1"/>
      <sz val="10"/>
      <color indexed="17"/>
      <name val="Helvetica Neue"/>
    </font>
    <font>
      <i val="1"/>
      <sz val="10"/>
      <color indexed="8"/>
      <name val="Garamond"/>
    </font>
    <font>
      <i val="1"/>
      <sz val="10"/>
      <color indexed="8"/>
      <name val="Helvetica Neue"/>
    </font>
    <font>
      <b val="1"/>
      <sz val="12"/>
      <color indexed="19"/>
      <name val="Helvetica Neue"/>
    </font>
    <font>
      <b val="1"/>
      <sz val="12"/>
      <color indexed="21"/>
      <name val="Helvetica Neue"/>
    </font>
    <font>
      <b val="1"/>
      <sz val="12"/>
      <color indexed="22"/>
      <name val="Helvetica Neue"/>
    </font>
    <font>
      <b val="1"/>
      <sz val="9"/>
      <color indexed="15"/>
      <name val="Helvetica Neue"/>
    </font>
    <font>
      <i val="1"/>
      <sz val="12"/>
      <color indexed="17"/>
      <name val="Garamond"/>
    </font>
    <font>
      <sz val="9"/>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s>
  <borders count="17">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color indexed="8"/>
      </top>
      <bottom>
        <color indexed="8"/>
      </bottom>
      <diagonal/>
    </border>
    <border>
      <left style="thin">
        <color indexed="13"/>
      </left>
      <right>
        <color indexed="8"/>
      </right>
      <top>
        <color indexed="8"/>
      </top>
      <bottom>
        <color indexed="8"/>
      </bottom>
      <diagonal/>
    </border>
    <border>
      <left>
        <color indexed="8"/>
      </left>
      <right>
        <color indexed="8"/>
      </right>
      <top>
        <color indexed="8"/>
      </top>
      <bottom>
        <color indexed="8"/>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color indexed="8"/>
      </top>
      <bottom>
        <color indexed="8"/>
      </bottom>
      <diagonal/>
    </border>
    <border>
      <left style="thin">
        <color indexed="14"/>
      </left>
      <right style="thin">
        <color indexed="13"/>
      </right>
      <top style="thin">
        <color indexed="14"/>
      </top>
      <bottom style="thin">
        <color indexed="13"/>
      </bottom>
      <diagonal/>
    </border>
    <border>
      <left>
        <color indexed="8"/>
      </left>
      <right>
        <color indexed="8"/>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color indexed="8"/>
      </left>
      <right>
        <color indexed="8"/>
      </right>
      <top style="thin">
        <color indexed="13"/>
      </top>
      <bottom>
        <color indexed="8"/>
      </bottom>
      <diagonal/>
    </border>
    <border>
      <left>
        <color indexed="8"/>
      </left>
      <right style="thin">
        <color indexed="13"/>
      </right>
      <top>
        <color indexed="8"/>
      </top>
      <bottom>
        <color indexed="8"/>
      </bottom>
      <diagonal/>
    </border>
    <border>
      <left>
        <color indexed="8"/>
      </left>
      <right>
        <color indexed="8"/>
      </right>
      <top>
        <color indexed="8"/>
      </top>
      <bottom style="thin">
        <color indexed="13"/>
      </bottom>
      <diagonal/>
    </border>
    <border>
      <left>
        <color indexed="8"/>
      </left>
      <right style="thin">
        <color indexed="13"/>
      </right>
      <top>
        <color indexed="8"/>
      </top>
      <bottom style="thin">
        <color indexed="14"/>
      </bottom>
      <diagonal/>
    </border>
    <border>
      <left style="thin">
        <color indexed="13"/>
      </left>
      <right style="thin">
        <color indexed="14"/>
      </right>
      <top style="thin">
        <color indexed="14"/>
      </top>
      <bottom style="thin">
        <color indexed="13"/>
      </bottom>
      <diagonal/>
    </border>
    <border>
      <left style="thin">
        <color indexed="13"/>
      </left>
      <right style="thin">
        <color indexed="14"/>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7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0" fontId="4" borderId="2" applyNumberFormat="0" applyFont="1" applyFill="0" applyBorder="1" applyAlignment="1" applyProtection="0">
      <alignment vertical="top" wrapText="1"/>
    </xf>
    <xf numFmtId="49" fontId="5" fillId="4" borderId="1" applyNumberFormat="1" applyFont="1" applyFill="1" applyBorder="1" applyAlignment="1" applyProtection="0">
      <alignment horizontal="center" vertical="top" wrapText="1"/>
    </xf>
    <xf numFmtId="0" fontId="5" borderId="2" applyNumberFormat="0" applyFont="1" applyFill="0" applyBorder="1" applyAlignment="1" applyProtection="0">
      <alignment horizontal="center" vertical="top" wrapText="1"/>
    </xf>
    <xf numFmtId="49" fontId="5" fillId="4" borderId="1" applyNumberFormat="1" applyFont="1" applyFill="1" applyBorder="1" applyAlignment="1" applyProtection="0">
      <alignment horizontal="center" vertical="center" wrapText="1"/>
    </xf>
    <xf numFmtId="0" fontId="4" borderId="3" applyNumberFormat="0" applyFont="1" applyFill="0" applyBorder="1" applyAlignment="1" applyProtection="0">
      <alignment vertical="top" wrapText="1"/>
    </xf>
    <xf numFmtId="0" fontId="4" borderId="4" applyNumberFormat="0" applyFont="1" applyFill="0" applyBorder="1" applyAlignment="1" applyProtection="0">
      <alignment vertical="top" wrapText="1"/>
    </xf>
    <xf numFmtId="49" fontId="4" fillId="5" borderId="5" applyNumberFormat="1" applyFont="1" applyFill="1" applyBorder="1" applyAlignment="1" applyProtection="0">
      <alignment vertical="top" wrapText="1"/>
    </xf>
    <xf numFmtId="0" fontId="4" borderId="6" applyNumberFormat="0" applyFont="1" applyFill="0" applyBorder="1" applyAlignment="1" applyProtection="0">
      <alignment vertical="top" wrapText="1"/>
    </xf>
    <xf numFmtId="0" fontId="0" borderId="7" applyNumberFormat="1" applyFont="1" applyFill="0" applyBorder="1" applyAlignment="1" applyProtection="0">
      <alignment horizontal="center" vertical="center" wrapText="1"/>
    </xf>
    <xf numFmtId="59" fontId="0" borderId="5" applyNumberFormat="1" applyFont="1" applyFill="0" applyBorder="1" applyAlignment="1" applyProtection="0">
      <alignment horizontal="center" vertical="center" wrapText="1"/>
    </xf>
    <xf numFmtId="0" fontId="0" borderId="5" applyNumberFormat="1" applyFont="1" applyFill="0" applyBorder="1" applyAlignment="1" applyProtection="0">
      <alignment horizontal="center" vertical="center" wrapText="1"/>
    </xf>
    <xf numFmtId="0" fontId="0" borderId="2" applyNumberFormat="0" applyFont="1" applyFill="0" applyBorder="1" applyAlignment="1" applyProtection="0">
      <alignment horizontal="center" vertical="center" wrapText="1"/>
    </xf>
    <xf numFmtId="10" fontId="0" borderId="5" applyNumberFormat="1" applyFont="1" applyFill="0" applyBorder="1" applyAlignment="1" applyProtection="0">
      <alignment horizontal="center" vertical="center" wrapText="1"/>
    </xf>
    <xf numFmtId="60" fontId="0" borderId="5" applyNumberFormat="1" applyFont="1" applyFill="0" applyBorder="1" applyAlignment="1" applyProtection="0">
      <alignment horizontal="center" vertical="center" wrapText="1"/>
    </xf>
    <xf numFmtId="0" fontId="0" borderId="2" applyNumberFormat="0" applyFont="1" applyFill="0" applyBorder="1" applyAlignment="1" applyProtection="0">
      <alignment vertical="top" wrapText="1"/>
    </xf>
    <xf numFmtId="61" fontId="7" borderId="5" applyNumberFormat="1" applyFont="1" applyFill="0" applyBorder="1" applyAlignment="1" applyProtection="0">
      <alignment horizontal="center" vertical="center" wrapText="1"/>
    </xf>
    <xf numFmtId="0" fontId="0" borderId="3" applyNumberFormat="0" applyFont="1" applyFill="0" applyBorder="1" applyAlignment="1" applyProtection="0">
      <alignment vertical="top" wrapText="1"/>
    </xf>
    <xf numFmtId="49" fontId="8" borderId="4" applyNumberFormat="1" applyFont="1" applyFill="0" applyBorder="1" applyAlignment="1" applyProtection="0">
      <alignment vertical="top" wrapText="1"/>
    </xf>
    <xf numFmtId="0" fontId="4" borderId="8" applyNumberFormat="0" applyFont="1" applyFill="0" applyBorder="1" applyAlignment="1" applyProtection="0">
      <alignment vertical="top" wrapText="1"/>
    </xf>
    <xf numFmtId="0" fontId="0" borderId="8" applyNumberFormat="0" applyFont="1" applyFill="0" applyBorder="1" applyAlignment="1" applyProtection="0">
      <alignment horizontal="center" vertical="center" wrapText="1"/>
    </xf>
    <xf numFmtId="59" fontId="0" borderId="8" applyNumberFormat="1" applyFont="1" applyFill="0" applyBorder="1" applyAlignment="1" applyProtection="0">
      <alignment horizontal="center" vertical="center" wrapText="1"/>
    </xf>
    <xf numFmtId="0" fontId="0" borderId="4" applyNumberFormat="0" applyFont="1" applyFill="0" applyBorder="1" applyAlignment="1" applyProtection="0">
      <alignment horizontal="center" vertical="center" wrapText="1"/>
    </xf>
    <xf numFmtId="0" fontId="0" borderId="4" applyNumberFormat="0" applyFont="1" applyFill="0" applyBorder="1" applyAlignment="1" applyProtection="0">
      <alignment vertical="top" wrapText="1"/>
    </xf>
    <xf numFmtId="62" fontId="4" borderId="8" applyNumberFormat="1" applyFont="1" applyFill="0" applyBorder="1" applyAlignment="1" applyProtection="0">
      <alignment horizontal="center" vertical="center" wrapText="1"/>
    </xf>
    <xf numFmtId="49" fontId="5" fillId="6" borderId="9" applyNumberFormat="1" applyFont="1" applyFill="1" applyBorder="1" applyAlignment="1" applyProtection="0">
      <alignment vertical="top" wrapText="1"/>
    </xf>
    <xf numFmtId="0" fontId="5" borderId="6" applyNumberFormat="0" applyFont="1" applyFill="0" applyBorder="1" applyAlignment="1" applyProtection="0">
      <alignment vertical="top" wrapText="1"/>
    </xf>
    <xf numFmtId="0" fontId="0" borderId="10" applyNumberFormat="1" applyFont="1" applyFill="0" applyBorder="1" applyAlignment="1" applyProtection="0">
      <alignment horizontal="center" vertical="center" wrapText="1"/>
    </xf>
    <xf numFmtId="59" fontId="0" borderId="9" applyNumberFormat="1" applyFont="1" applyFill="0" applyBorder="1" applyAlignment="1" applyProtection="0">
      <alignment horizontal="center" vertical="center" wrapText="1"/>
    </xf>
    <xf numFmtId="0" fontId="5" fillId="6" borderId="9" applyNumberFormat="1" applyFont="1" applyFill="1" applyBorder="1" applyAlignment="1" applyProtection="0">
      <alignment horizontal="center" vertical="center" wrapText="1"/>
    </xf>
    <xf numFmtId="0" fontId="5" borderId="2" applyNumberFormat="0" applyFont="1" applyFill="0" applyBorder="1" applyAlignment="1" applyProtection="0">
      <alignment horizontal="center" vertical="center" wrapText="1"/>
    </xf>
    <xf numFmtId="0" fontId="0" borderId="9" applyNumberFormat="1" applyFont="1" applyFill="0" applyBorder="1" applyAlignment="1" applyProtection="0">
      <alignment horizontal="center" vertical="center" wrapText="1"/>
    </xf>
    <xf numFmtId="10" fontId="0" borderId="9" applyNumberFormat="1" applyFont="1" applyFill="0" applyBorder="1" applyAlignment="1" applyProtection="0">
      <alignment horizontal="center" vertical="center" wrapText="1"/>
    </xf>
    <xf numFmtId="60" fontId="0" borderId="9" applyNumberFormat="1" applyFont="1" applyFill="0" applyBorder="1" applyAlignment="1" applyProtection="0">
      <alignment horizontal="center" vertical="center" wrapText="1"/>
    </xf>
    <xf numFmtId="60" fontId="7" borderId="9" applyNumberFormat="1" applyFont="1" applyFill="0" applyBorder="1" applyAlignment="1" applyProtection="0">
      <alignment horizontal="center" vertical="center" wrapText="1"/>
    </xf>
    <xf numFmtId="0" fontId="5" borderId="2" applyNumberFormat="0" applyFont="1" applyFill="0" applyBorder="1" applyAlignment="1" applyProtection="0">
      <alignment vertical="top" wrapText="1"/>
    </xf>
    <xf numFmtId="63" fontId="7" borderId="9" applyNumberFormat="1" applyFont="1" applyFill="0" applyBorder="1" applyAlignment="1" applyProtection="0">
      <alignment horizontal="center" vertical="center" wrapText="1"/>
    </xf>
    <xf numFmtId="0" fontId="5" borderId="3" applyNumberFormat="0" applyFont="1" applyFill="0" applyBorder="1" applyAlignment="1" applyProtection="0">
      <alignment vertical="top" wrapText="1"/>
    </xf>
    <xf numFmtId="0" fontId="4" borderId="11" applyNumberFormat="0" applyFont="1" applyFill="0" applyBorder="1" applyAlignment="1" applyProtection="0">
      <alignment vertical="top" wrapText="1"/>
    </xf>
    <xf numFmtId="0" fontId="0" borderId="11" applyNumberFormat="0" applyFont="1" applyFill="0" applyBorder="1" applyAlignment="1" applyProtection="0">
      <alignment horizontal="center" vertical="center" wrapText="1"/>
    </xf>
    <xf numFmtId="59" fontId="0" borderId="11" applyNumberFormat="1" applyFont="1" applyFill="0" applyBorder="1" applyAlignment="1" applyProtection="0">
      <alignment horizontal="center" vertical="center" wrapText="1"/>
    </xf>
    <xf numFmtId="62" fontId="4" borderId="11" applyNumberFormat="1" applyFont="1" applyFill="0" applyBorder="1" applyAlignment="1" applyProtection="0">
      <alignment horizontal="center" vertical="center" wrapText="1"/>
    </xf>
    <xf numFmtId="59" fontId="0" borderId="4" applyNumberFormat="1" applyFont="1" applyFill="0" applyBorder="1" applyAlignment="1" applyProtection="0">
      <alignment horizontal="center" vertical="center" wrapText="1"/>
    </xf>
    <xf numFmtId="49" fontId="9" borderId="12" applyNumberFormat="1" applyFont="1" applyFill="0" applyBorder="1" applyAlignment="1" applyProtection="0">
      <alignment horizontal="right" vertical="center" wrapText="1"/>
    </xf>
    <xf numFmtId="60" fontId="10" borderId="9" applyNumberFormat="1" applyFont="1" applyFill="0" applyBorder="1" applyAlignment="1" applyProtection="0">
      <alignment horizontal="center" vertical="center" wrapText="1"/>
    </xf>
    <xf numFmtId="62" fontId="10" borderId="4" applyNumberFormat="1" applyFont="1" applyFill="0" applyBorder="1" applyAlignment="1" applyProtection="0">
      <alignment horizontal="center" vertical="center" wrapText="1"/>
    </xf>
    <xf numFmtId="0" fontId="4" borderId="13" applyNumberFormat="0" applyFont="1" applyFill="0" applyBorder="1" applyAlignment="1" applyProtection="0">
      <alignment vertical="top" wrapText="1"/>
    </xf>
    <xf numFmtId="0" fontId="0" borderId="13" applyNumberFormat="0" applyFont="1" applyFill="0" applyBorder="1" applyAlignment="1" applyProtection="0">
      <alignment horizontal="center" vertical="center" wrapText="1"/>
    </xf>
    <xf numFmtId="59" fontId="0" borderId="13" applyNumberFormat="1" applyFont="1" applyFill="0" applyBorder="1" applyAlignment="1" applyProtection="0">
      <alignment horizontal="center" vertical="center" wrapText="1"/>
    </xf>
    <xf numFmtId="62" fontId="4" borderId="13" applyNumberFormat="1" applyFont="1" applyFill="0" applyBorder="1" applyAlignment="1" applyProtection="0">
      <alignment horizontal="center" vertical="center" wrapText="1"/>
    </xf>
    <xf numFmtId="49" fontId="5" fillId="7" borderId="9" applyNumberFormat="1" applyFont="1" applyFill="1" applyBorder="1" applyAlignment="1" applyProtection="0">
      <alignment vertical="top" wrapText="1"/>
    </xf>
    <xf numFmtId="59" fontId="5" fillId="7" borderId="9" applyNumberFormat="1" applyFont="1" applyFill="1" applyBorder="1" applyAlignment="1" applyProtection="0">
      <alignment horizontal="center" vertical="center" wrapText="1"/>
    </xf>
    <xf numFmtId="60" fontId="11" borderId="9" applyNumberFormat="1" applyFont="1" applyFill="0" applyBorder="1" applyAlignment="1" applyProtection="0">
      <alignment horizontal="center" vertical="center" wrapText="1"/>
    </xf>
    <xf numFmtId="62" fontId="11" borderId="4" applyNumberFormat="1" applyFont="1" applyFill="0" applyBorder="1" applyAlignment="1" applyProtection="0">
      <alignment horizontal="center" vertical="center" wrapText="1"/>
    </xf>
    <xf numFmtId="49" fontId="5" fillId="8" borderId="9" applyNumberFormat="1" applyFont="1" applyFill="1" applyBorder="1" applyAlignment="1" applyProtection="0">
      <alignment vertical="top" wrapText="1"/>
    </xf>
    <xf numFmtId="0" fontId="5" fillId="8" borderId="10" applyNumberFormat="1" applyFont="1" applyFill="1" applyBorder="1" applyAlignment="1" applyProtection="0">
      <alignment horizontal="center" vertical="center" wrapText="1"/>
    </xf>
    <xf numFmtId="60" fontId="12" borderId="9" applyNumberFormat="1" applyFont="1" applyFill="0" applyBorder="1" applyAlignment="1" applyProtection="0">
      <alignment horizontal="center" vertical="center" wrapText="1"/>
    </xf>
    <xf numFmtId="62" fontId="12" borderId="4"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4" borderId="14" applyNumberFormat="0" applyFont="1" applyFill="0" applyBorder="1" applyAlignment="1" applyProtection="0">
      <alignment vertical="top" wrapText="1"/>
    </xf>
    <xf numFmtId="49" fontId="13" fillId="9" borderId="1" applyNumberFormat="1" applyFont="1" applyFill="1" applyBorder="1" applyAlignment="1" applyProtection="0">
      <alignment horizontal="center" vertical="center" wrapText="1"/>
    </xf>
    <xf numFmtId="49" fontId="14" fillId="5" borderId="15" applyNumberFormat="1" applyFont="1" applyFill="1" applyBorder="1" applyAlignment="1" applyProtection="0">
      <alignment horizontal="center" vertical="center" wrapText="1"/>
    </xf>
    <xf numFmtId="64" fontId="15" borderId="7" applyNumberFormat="1" applyFont="1" applyFill="0" applyBorder="1" applyAlignment="1" applyProtection="0">
      <alignment horizontal="center" vertical="center" wrapText="1"/>
    </xf>
    <xf numFmtId="60" fontId="15" borderId="5" applyNumberFormat="1" applyFont="1" applyFill="0" applyBorder="1" applyAlignment="1" applyProtection="0">
      <alignment horizontal="center" vertical="center" wrapText="1"/>
    </xf>
    <xf numFmtId="59" fontId="15" borderId="5" applyNumberFormat="1" applyFont="1" applyFill="0" applyBorder="1" applyAlignment="1" applyProtection="0">
      <alignment horizontal="center" vertical="center" wrapText="1"/>
    </xf>
    <xf numFmtId="65" fontId="15" borderId="5" applyNumberFormat="1" applyFont="1" applyFill="0" applyBorder="1" applyAlignment="1" applyProtection="0">
      <alignment horizontal="center" vertical="center" wrapText="1"/>
    </xf>
    <xf numFmtId="49" fontId="14" fillId="5" borderId="16" applyNumberFormat="1" applyFont="1" applyFill="1" applyBorder="1" applyAlignment="1" applyProtection="0">
      <alignment horizontal="center" vertical="center" wrapText="1"/>
    </xf>
    <xf numFmtId="64" fontId="15" borderId="10" applyNumberFormat="1" applyFont="1" applyFill="0" applyBorder="1" applyAlignment="1" applyProtection="0">
      <alignment horizontal="center" vertical="center" wrapText="1"/>
    </xf>
    <xf numFmtId="60" fontId="15" borderId="9" applyNumberFormat="1" applyFont="1" applyFill="0" applyBorder="1" applyAlignment="1" applyProtection="0">
      <alignment horizontal="center" vertical="center" wrapText="1"/>
    </xf>
    <xf numFmtId="59" fontId="15" borderId="9" applyNumberFormat="1" applyFont="1" applyFill="0" applyBorder="1" applyAlignment="1" applyProtection="0">
      <alignment horizontal="center" vertical="center" wrapText="1"/>
    </xf>
    <xf numFmtId="10" fontId="15" borderId="9" applyNumberFormat="1" applyFont="1" applyFill="0"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fefffe"/>
      <rgbColor rgb="ffdbdbdb"/>
      <rgbColor rgb="ff5e5e5e"/>
      <rgbColor rgb="ffff968c"/>
      <rgbColor rgb="fffe634d"/>
      <rgbColor rgb="ff1cb000"/>
      <rgbColor rgb="ff017000"/>
      <rgbColor rgb="ff960d52"/>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17</v>
      </c>
      <c r="C11" s="3"/>
      <c r="D11" s="3"/>
    </row>
    <row r="12">
      <c r="B12" s="4"/>
      <c r="C12" t="s" s="4">
        <v>27</v>
      </c>
      <c r="D12" t="s" s="5">
        <v>17</v>
      </c>
    </row>
  </sheetData>
  <mergeCells count="1">
    <mergeCell ref="B3:D3"/>
  </mergeCells>
  <hyperlinks>
    <hyperlink ref="D10" location="'Proy. X Etapas - Proyecciones f'!R2C1" tooltip="" display="Proy. X Etapas - Proyecciones f"/>
    <hyperlink ref="D12" location="'Rentabilidad'!R2C1" tooltip="" display="Rentabilidad"/>
  </hyperlinks>
</worksheet>
</file>

<file path=xl/worksheets/sheet2.xml><?xml version="1.0" encoding="utf-8"?>
<worksheet xmlns:r="http://schemas.openxmlformats.org/officeDocument/2006/relationships" xmlns="http://schemas.openxmlformats.org/spreadsheetml/2006/main">
  <dimension ref="A2:Q15"/>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19.875" style="6" customWidth="1"/>
    <col min="2" max="2" width="2.24219" style="6" customWidth="1"/>
    <col min="3" max="3" width="9.33594" style="6" customWidth="1"/>
    <col min="4" max="5" width="16.3516" style="6" customWidth="1"/>
    <col min="6" max="6" width="2.53906" style="6" customWidth="1"/>
    <col min="7" max="12" width="16.3516" style="6" customWidth="1"/>
    <col min="13" max="13" width="13.2969" style="6" customWidth="1"/>
    <col min="14" max="14" width="2.85938" style="6" customWidth="1"/>
    <col min="15" max="15" width="13.2969" style="6" customWidth="1"/>
    <col min="16" max="16" width="1.66406" style="6" customWidth="1"/>
    <col min="17" max="17" width="13.2969" style="6" customWidth="1"/>
    <col min="18" max="16384" width="16.3516" style="6" customWidth="1"/>
  </cols>
  <sheetData>
    <row r="1" ht="27.65" customHeight="1">
      <c r="A1" t="s" s="7">
        <v>5</v>
      </c>
      <c r="B1" s="7"/>
      <c r="C1" s="7"/>
      <c r="D1" s="7"/>
      <c r="E1" s="7"/>
      <c r="F1" s="7"/>
      <c r="G1" s="7"/>
      <c r="H1" s="7"/>
      <c r="I1" s="7"/>
      <c r="J1" s="7"/>
      <c r="K1" s="7"/>
      <c r="L1" s="7"/>
      <c r="M1" s="7"/>
      <c r="N1" s="7"/>
      <c r="O1" s="7"/>
      <c r="P1" s="7"/>
      <c r="Q1" s="7"/>
    </row>
    <row r="2" ht="32.25" customHeight="1">
      <c r="A2" s="8"/>
      <c r="B2" s="9"/>
      <c r="C2" t="s" s="10">
        <v>7</v>
      </c>
      <c r="D2" t="s" s="10">
        <v>8</v>
      </c>
      <c r="E2" t="s" s="10">
        <v>9</v>
      </c>
      <c r="F2" s="11"/>
      <c r="G2" t="s" s="10">
        <v>10</v>
      </c>
      <c r="H2" t="s" s="10">
        <v>11</v>
      </c>
      <c r="I2" t="s" s="10">
        <v>12</v>
      </c>
      <c r="J2" t="s" s="10">
        <v>13</v>
      </c>
      <c r="K2" t="s" s="10">
        <v>14</v>
      </c>
      <c r="L2" t="s" s="10">
        <v>15</v>
      </c>
      <c r="M2" t="s" s="10">
        <v>16</v>
      </c>
      <c r="N2" s="9"/>
      <c r="O2" t="s" s="12">
        <v>17</v>
      </c>
      <c r="P2" s="13"/>
      <c r="Q2" s="14"/>
    </row>
    <row r="3" ht="32.55" customHeight="1">
      <c r="A3" t="s" s="15">
        <v>18</v>
      </c>
      <c r="B3" s="16"/>
      <c r="C3" s="17">
        <v>4</v>
      </c>
      <c r="D3" s="18">
        <v>655000</v>
      </c>
      <c r="E3" s="19">
        <v>1</v>
      </c>
      <c r="F3" s="20"/>
      <c r="G3" s="19" cm="1">
        <f t="array" ref="G3">C3*E3*4</f>
        <v>16</v>
      </c>
      <c r="H3" s="21" cm="1">
        <f t="array" ref="H3">G3/120</f>
        <v>0.133333333333333</v>
      </c>
      <c r="I3" s="18" cm="1">
        <f t="array" ref="I3">C3*D3*E3</f>
        <v>2620000</v>
      </c>
      <c r="J3" s="18" cm="1">
        <f t="array" ref="J3">I3/3200</f>
        <v>818.75</v>
      </c>
      <c r="K3" s="19">
        <v>4</v>
      </c>
      <c r="L3" s="22" cm="1">
        <f t="array" ref="L3">J3*K3</f>
        <v>3275</v>
      </c>
      <c r="M3" s="22" cm="1">
        <f t="array" ref="M3">L3*12</f>
        <v>39300</v>
      </c>
      <c r="N3" s="23"/>
      <c r="O3" s="24" cm="1">
        <f t="array" ref="O3">'Rentabilidad'!H3</f>
        <v>2.4625e-06</v>
      </c>
      <c r="P3" s="25"/>
      <c r="Q3" t="s" s="26">
        <v>19</v>
      </c>
    </row>
    <row r="4" ht="20.05" customHeight="1">
      <c r="A4" s="27"/>
      <c r="B4" s="14"/>
      <c r="C4" s="28"/>
      <c r="D4" s="29"/>
      <c r="E4" s="28"/>
      <c r="F4" s="30"/>
      <c r="G4" s="28"/>
      <c r="H4" s="28"/>
      <c r="I4" s="29"/>
      <c r="J4" s="29"/>
      <c r="K4" s="28"/>
      <c r="L4" s="29"/>
      <c r="M4" s="29"/>
      <c r="N4" s="31"/>
      <c r="O4" s="32"/>
      <c r="P4" s="31"/>
      <c r="Q4" s="31"/>
    </row>
    <row r="5" ht="44.35" customHeight="1">
      <c r="A5" t="s" s="33">
        <v>20</v>
      </c>
      <c r="B5" s="34"/>
      <c r="C5" s="35">
        <v>4</v>
      </c>
      <c r="D5" s="36">
        <v>655000</v>
      </c>
      <c r="E5" s="37">
        <v>2.5</v>
      </c>
      <c r="F5" s="38"/>
      <c r="G5" s="39" cm="1">
        <f t="array" ref="G5">C5*E5*4</f>
        <v>40</v>
      </c>
      <c r="H5" s="40" cm="1">
        <f t="array" ref="H5">G5/120</f>
        <v>0.333333333333333</v>
      </c>
      <c r="I5" s="36" cm="1">
        <f t="array" ref="I5">C5*D5*E5</f>
        <v>6550000</v>
      </c>
      <c r="J5" s="36" cm="1">
        <f t="array" ref="J5">I5/3200</f>
        <v>2046.875</v>
      </c>
      <c r="K5" s="39">
        <v>4</v>
      </c>
      <c r="L5" s="41" cm="1">
        <f t="array" ref="L5">J5*K5</f>
        <v>8187.5</v>
      </c>
      <c r="M5" s="42" cm="1">
        <f t="array" ref="M5">L5*12</f>
        <v>98250</v>
      </c>
      <c r="N5" s="43"/>
      <c r="O5" s="44" cm="1">
        <f t="array" ref="O5">'Rentabilidad'!H4</f>
        <v>0.100392927308448</v>
      </c>
      <c r="P5" s="45"/>
      <c r="Q5" t="s" s="26">
        <v>21</v>
      </c>
    </row>
    <row r="6" ht="8.35" customHeight="1">
      <c r="A6" s="46"/>
      <c r="B6" s="14"/>
      <c r="C6" s="47"/>
      <c r="D6" s="48"/>
      <c r="E6" s="47"/>
      <c r="F6" s="30"/>
      <c r="G6" s="47"/>
      <c r="H6" s="47"/>
      <c r="I6" s="48"/>
      <c r="J6" s="48"/>
      <c r="K6" s="47"/>
      <c r="L6" s="48"/>
      <c r="M6" s="29"/>
      <c r="N6" s="31"/>
      <c r="O6" s="49"/>
      <c r="P6" s="31"/>
      <c r="Q6" s="31"/>
    </row>
    <row r="7" ht="32.05" customHeight="1">
      <c r="A7" s="14"/>
      <c r="B7" s="14"/>
      <c r="C7" s="30"/>
      <c r="D7" s="50"/>
      <c r="E7" s="30"/>
      <c r="F7" s="30"/>
      <c r="G7" s="30"/>
      <c r="H7" s="30"/>
      <c r="I7" s="50"/>
      <c r="J7" s="50"/>
      <c r="K7" s="30"/>
      <c r="L7" t="s" s="51">
        <v>22</v>
      </c>
      <c r="M7" s="52" cm="1">
        <f t="array" ref="M7">M5-M3</f>
        <v>58950</v>
      </c>
      <c r="N7" s="25"/>
      <c r="O7" s="53"/>
      <c r="P7" s="31"/>
      <c r="Q7" s="31"/>
    </row>
    <row r="8" ht="20.05" customHeight="1">
      <c r="A8" s="54"/>
      <c r="B8" s="14"/>
      <c r="C8" s="55"/>
      <c r="D8" s="56"/>
      <c r="E8" s="55"/>
      <c r="F8" s="30"/>
      <c r="G8" s="55"/>
      <c r="H8" s="55"/>
      <c r="I8" s="56"/>
      <c r="J8" s="56"/>
      <c r="K8" s="55"/>
      <c r="L8" s="56"/>
      <c r="M8" s="29"/>
      <c r="N8" s="31"/>
      <c r="O8" s="57"/>
      <c r="P8" s="31"/>
      <c r="Q8" s="31"/>
    </row>
    <row r="9" ht="44.35" customHeight="1">
      <c r="A9" t="s" s="58">
        <v>23</v>
      </c>
      <c r="B9" s="34"/>
      <c r="C9" s="35">
        <v>4</v>
      </c>
      <c r="D9" s="59" cm="1">
        <f t="array" ref="D9">D5+(D5*50%)</f>
        <v>982500</v>
      </c>
      <c r="E9" s="37">
        <v>2.5</v>
      </c>
      <c r="F9" s="38"/>
      <c r="G9" s="39" cm="1">
        <f t="array" ref="G9">C9*E9*4</f>
        <v>40</v>
      </c>
      <c r="H9" s="40" cm="1">
        <f t="array" ref="H9">G9/120</f>
        <v>0.333333333333333</v>
      </c>
      <c r="I9" s="36" cm="1">
        <f t="array" ref="I9">C9*D9*E9</f>
        <v>9825000</v>
      </c>
      <c r="J9" s="36" cm="1">
        <f t="array" ref="J9">I9/3200</f>
        <v>3070.3125</v>
      </c>
      <c r="K9" s="39">
        <v>4</v>
      </c>
      <c r="L9" s="41" cm="1">
        <f t="array" ref="L9">J9*K9</f>
        <v>12281.25</v>
      </c>
      <c r="M9" s="42" cm="1">
        <f t="array" ref="M9">L9*12</f>
        <v>147375</v>
      </c>
      <c r="N9" s="43"/>
      <c r="O9" s="44" cm="1">
        <f t="array" ref="O9">'Rentabilidad'!H5</f>
        <v>0.138607594936709</v>
      </c>
      <c r="P9" s="45"/>
      <c r="Q9" t="s" s="26">
        <v>21</v>
      </c>
    </row>
    <row r="10" ht="20.05" customHeight="1">
      <c r="A10" s="46"/>
      <c r="B10" s="14"/>
      <c r="C10" s="47"/>
      <c r="D10" s="48"/>
      <c r="E10" s="47"/>
      <c r="F10" s="30"/>
      <c r="G10" s="47"/>
      <c r="H10" s="47"/>
      <c r="I10" s="48"/>
      <c r="J10" s="48"/>
      <c r="K10" s="47"/>
      <c r="L10" s="48"/>
      <c r="M10" s="29"/>
      <c r="N10" s="31"/>
      <c r="O10" s="49"/>
      <c r="P10" s="31"/>
      <c r="Q10" s="31"/>
    </row>
    <row r="11" ht="32.05" customHeight="1">
      <c r="A11" s="14"/>
      <c r="B11" s="14"/>
      <c r="C11" s="30"/>
      <c r="D11" s="50"/>
      <c r="E11" s="30"/>
      <c r="F11" s="30"/>
      <c r="G11" s="30"/>
      <c r="H11" s="30"/>
      <c r="I11" s="50"/>
      <c r="J11" s="50"/>
      <c r="K11" s="30"/>
      <c r="L11" t="s" s="51">
        <v>24</v>
      </c>
      <c r="M11" s="60" cm="1">
        <f t="array" ref="M11">M9-M3</f>
        <v>108075</v>
      </c>
      <c r="N11" s="25"/>
      <c r="O11" s="61"/>
      <c r="P11" s="31"/>
      <c r="Q11" s="31"/>
    </row>
    <row r="12" ht="20.05" customHeight="1">
      <c r="A12" s="54"/>
      <c r="B12" s="14"/>
      <c r="C12" s="55"/>
      <c r="D12" s="56"/>
      <c r="E12" s="55"/>
      <c r="F12" s="30"/>
      <c r="G12" s="55"/>
      <c r="H12" s="55"/>
      <c r="I12" s="56"/>
      <c r="J12" s="56"/>
      <c r="K12" s="55"/>
      <c r="L12" s="56"/>
      <c r="M12" s="29"/>
      <c r="N12" s="31"/>
      <c r="O12" s="57"/>
      <c r="P12" s="31"/>
      <c r="Q12" s="31"/>
    </row>
    <row r="13" ht="44.35" customHeight="1">
      <c r="A13" t="s" s="62">
        <v>25</v>
      </c>
      <c r="B13" s="34"/>
      <c r="C13" s="63">
        <v>7</v>
      </c>
      <c r="D13" s="59" cm="1">
        <f t="array" ref="D13">D9+(D9*50%)</f>
        <v>1473750</v>
      </c>
      <c r="E13" s="37">
        <v>2.5</v>
      </c>
      <c r="F13" s="38"/>
      <c r="G13" s="39" cm="1">
        <f t="array" ref="G13">C13*E13*4</f>
        <v>70</v>
      </c>
      <c r="H13" s="40" cm="1">
        <f t="array" ref="H13">G13/120</f>
        <v>0.583333333333333</v>
      </c>
      <c r="I13" s="36" cm="1">
        <f t="array" ref="I13">C13*D13*E13</f>
        <v>25790625</v>
      </c>
      <c r="J13" s="36" cm="1">
        <f t="array" ref="J13">I13/3200</f>
        <v>8059.5703125</v>
      </c>
      <c r="K13" s="39">
        <v>4</v>
      </c>
      <c r="L13" s="41" cm="1">
        <f t="array" ref="L13">J13*K13</f>
        <v>32238.28125</v>
      </c>
      <c r="M13" s="42" cm="1">
        <f t="array" ref="M13">L13*12</f>
        <v>386859.375</v>
      </c>
      <c r="N13" s="43"/>
      <c r="O13" s="44" cm="1">
        <f t="array" ref="O13">'Rentabilidad'!H6</f>
        <v>0.211787343215507</v>
      </c>
      <c r="P13" s="45"/>
      <c r="Q13" t="s" s="26">
        <v>21</v>
      </c>
    </row>
    <row r="14" ht="20.05" customHeight="1">
      <c r="A14" s="46"/>
      <c r="B14" s="14"/>
      <c r="C14" s="47"/>
      <c r="D14" s="48"/>
      <c r="E14" s="47"/>
      <c r="F14" s="30"/>
      <c r="G14" s="47"/>
      <c r="H14" s="47"/>
      <c r="I14" s="48"/>
      <c r="J14" s="48"/>
      <c r="K14" s="47"/>
      <c r="L14" s="48"/>
      <c r="M14" s="29"/>
      <c r="N14" s="31"/>
      <c r="O14" s="49"/>
      <c r="P14" s="31"/>
      <c r="Q14" s="31"/>
    </row>
    <row r="15" ht="44.05" customHeight="1">
      <c r="A15" s="14"/>
      <c r="B15" s="14"/>
      <c r="C15" s="30"/>
      <c r="D15" s="50"/>
      <c r="E15" s="30"/>
      <c r="F15" s="30"/>
      <c r="G15" s="30"/>
      <c r="H15" s="30"/>
      <c r="I15" s="50"/>
      <c r="J15" s="50"/>
      <c r="K15" s="30"/>
      <c r="L15" t="s" s="51">
        <v>26</v>
      </c>
      <c r="M15" s="64" cm="1">
        <f t="array" ref="M15">M13-M7</f>
        <v>327909.375</v>
      </c>
      <c r="N15" s="25"/>
      <c r="O15" s="65"/>
      <c r="P15" s="31"/>
      <c r="Q15" s="31"/>
    </row>
  </sheetData>
  <mergeCells count="1">
    <mergeCell ref="A1:Q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H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1.1172" style="66" customWidth="1"/>
    <col min="2" max="5" width="16.3516" style="66" customWidth="1"/>
    <col min="6" max="6" hidden="1" width="16.3333" style="66" customWidth="1"/>
    <col min="7" max="8" width="16.3516" style="66" customWidth="1"/>
    <col min="9" max="16384" width="16.3516" style="66" customWidth="1"/>
  </cols>
  <sheetData>
    <row r="1" ht="27.65" customHeight="1">
      <c r="A1" t="s" s="7">
        <v>27</v>
      </c>
      <c r="B1" s="7"/>
      <c r="C1" s="7"/>
      <c r="D1" s="7"/>
      <c r="E1" s="7"/>
      <c r="F1" s="7"/>
      <c r="G1" s="7"/>
      <c r="H1" s="7"/>
    </row>
    <row r="2" ht="30.25" customHeight="1">
      <c r="A2" s="67"/>
      <c r="B2" t="s" s="68">
        <v>28</v>
      </c>
      <c r="C2" t="s" s="68">
        <v>29</v>
      </c>
      <c r="D2" t="s" s="68">
        <v>30</v>
      </c>
      <c r="E2" t="s" s="68">
        <v>31</v>
      </c>
      <c r="F2" t="s" s="68">
        <v>32</v>
      </c>
      <c r="G2" t="s" s="68">
        <v>33</v>
      </c>
      <c r="H2" t="s" s="68">
        <v>34</v>
      </c>
    </row>
    <row r="3" ht="21.55" customHeight="1">
      <c r="A3" t="s" s="69">
        <v>35</v>
      </c>
      <c r="B3" s="70">
        <v>2000000000</v>
      </c>
      <c r="C3" s="71" cm="1">
        <f t="array" ref="C3">B3/3200</f>
        <v>625000</v>
      </c>
      <c r="D3" s="71" cm="1">
        <f t="array" ref="D3">'Proy. X Etapas - Proyecciones f'!M3</f>
        <v>39300</v>
      </c>
      <c r="E3" s="71" cm="1">
        <f t="array" ref="E3">110000000/3200</f>
        <v>34375</v>
      </c>
      <c r="F3" s="72" cm="1">
        <f t="array" ref="F3">D3*3200</f>
        <v>125760000</v>
      </c>
      <c r="G3" s="72" cm="1">
        <f t="array" ref="G3">D3-E3</f>
        <v>4925</v>
      </c>
      <c r="H3" s="73" cm="1">
        <f t="array" ref="H3">G3/B3</f>
        <v>2.4625e-06</v>
      </c>
    </row>
    <row r="4" ht="21.35" customHeight="1">
      <c r="A4" t="s" s="74">
        <v>36</v>
      </c>
      <c r="B4" s="75">
        <v>36000000</v>
      </c>
      <c r="C4" s="76" cm="1">
        <f t="array" ref="C4">(B3+B4)/3200</f>
        <v>636250</v>
      </c>
      <c r="D4" s="76" cm="1">
        <f t="array" ref="D4">'Proy. X Etapas - Proyecciones f'!M5</f>
        <v>98250</v>
      </c>
      <c r="E4" s="76" cm="1">
        <f t="array" ref="E4">110000000/3200</f>
        <v>34375</v>
      </c>
      <c r="F4" s="77" cm="1">
        <f t="array" ref="F4">D4*3200</f>
        <v>314400000</v>
      </c>
      <c r="G4" s="77" cm="1">
        <f t="array" ref="G4">D4-E4</f>
        <v>63875</v>
      </c>
      <c r="H4" s="78" cm="1">
        <f t="array" ref="H4">G4/C4</f>
        <v>0.100392927308448</v>
      </c>
    </row>
    <row r="5" ht="21.35" customHeight="1">
      <c r="A5" t="s" s="74">
        <v>37</v>
      </c>
      <c r="B5" s="75">
        <v>176000000</v>
      </c>
      <c r="C5" s="76" cm="1">
        <f t="array" ref="C5">(B3+B4+B5)/3200</f>
        <v>691250</v>
      </c>
      <c r="D5" s="76" cm="1">
        <f t="array" ref="D5">'Proy. X Etapas - Proyecciones f'!M9</f>
        <v>147375</v>
      </c>
      <c r="E5" s="76" cm="1">
        <f t="array" ref="E5">E4*1.5</f>
        <v>51562.5</v>
      </c>
      <c r="F5" s="77" cm="1">
        <f t="array" ref="F5">D5*3200</f>
        <v>471600000</v>
      </c>
      <c r="G5" s="77" cm="1">
        <f t="array" ref="G5">D5-E5</f>
        <v>95812.5</v>
      </c>
      <c r="H5" s="78" cm="1">
        <f t="array" ref="H5">G5/C5</f>
        <v>0.138607594936709</v>
      </c>
    </row>
    <row r="6" ht="21.35" customHeight="1">
      <c r="A6" t="s" s="74">
        <v>38</v>
      </c>
      <c r="B6" s="75">
        <v>1296000000</v>
      </c>
      <c r="C6" s="76" cm="1">
        <f t="array" ref="C6">(B3+B4+B5+B6)/3200</f>
        <v>1096250</v>
      </c>
      <c r="D6" s="76" cm="1">
        <f t="array" ref="D6">'Proy. X Etapas - Proyecciones f'!M13</f>
        <v>386859.375</v>
      </c>
      <c r="E6" s="76" cm="1">
        <f t="array" ref="E6">E5*3</f>
        <v>154687.5</v>
      </c>
      <c r="F6" s="77" cm="1">
        <f t="array" ref="F6">D6*3200</f>
        <v>1237950000</v>
      </c>
      <c r="G6" s="77" cm="1">
        <f t="array" ref="G6">D6-E6</f>
        <v>232171.875</v>
      </c>
      <c r="H6" s="78" cm="1">
        <f t="array" ref="H6">G6/C6</f>
        <v>0.211787343215507</v>
      </c>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